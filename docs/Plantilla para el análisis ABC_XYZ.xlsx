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is ABCXYZ" sheetId="1" r:id="rId4"/>
  </sheets>
  <definedNames/>
  <calcPr/>
</workbook>
</file>

<file path=xl/sharedStrings.xml><?xml version="1.0" encoding="utf-8"?>
<sst xmlns="http://schemas.openxmlformats.org/spreadsheetml/2006/main" count="26" uniqueCount="21">
  <si>
    <r>
      <rPr>
        <rFont val="Helvetica Neue"/>
        <b/>
        <color rgb="FF451692"/>
        <sz val="11.0"/>
      </rPr>
      <t xml:space="preserve">Simla.com es una plataforma CRM que sirve para los negocios que venden productos o prestan servicios por WhatsApp, Facebook, Instagram o sitios web en Shopify, WooCommerce,
etc. Esta solución todo en uno multiagente ayuda a aumentar las ventas por eCommerce, atender a los clientes, gestionar los productos en el surtido, lanzar envíos masivos por email
o WA, configurar chatbots y muchas cosas más. </t>
    </r>
    <r>
      <rPr>
        <rFont val="Helvetica Neue"/>
        <b/>
        <color rgb="FF1155CC"/>
        <sz val="11.0"/>
        <u/>
      </rPr>
      <t>¡Pruébala ahora mismo 7 días gratis sin tarjeta ni compromiso!</t>
    </r>
  </si>
  <si>
    <t>Producto</t>
  </si>
  <si>
    <t>Importe Total</t>
  </si>
  <si>
    <t>Porcentaje de importe total</t>
  </si>
  <si>
    <t>Porcentaje acumulativo</t>
  </si>
  <si>
    <t>ABC</t>
  </si>
  <si>
    <t>Coeficiente de variación</t>
  </si>
  <si>
    <t>XYZ</t>
  </si>
  <si>
    <t>ABC + XYZ</t>
  </si>
  <si>
    <t>Importe</t>
  </si>
  <si>
    <t>Mascara</t>
  </si>
  <si>
    <t>Pintura para labios</t>
  </si>
  <si>
    <t>Corrector hidratante</t>
  </si>
  <si>
    <t>Tono</t>
  </si>
  <si>
    <t>Pinceles de maquillaje</t>
  </si>
  <si>
    <t>Base iluminadora</t>
  </si>
  <si>
    <t>Sombra de ojos</t>
  </si>
  <si>
    <t>Delineador de ojos</t>
  </si>
  <si>
    <t>Fijador del maquillaje</t>
  </si>
  <si>
    <t>Rizador de pestañas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</si>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</sst>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.yyyy"/>
  </numFmts>
  <fonts count="10">
    <font>
      <sz val="10.0"/>
      <color rgb="FF000000"/>
      <name val="Arial"/>
      <scheme val="minor"/>
    </font>
    <font>
      <b/>
      <color rgb="FFFFFFFF"/>
      <name val="Arial"/>
    </font>
    <font>
      <b/>
      <u/>
      <sz val="11.0"/>
      <color rgb="FF451692"/>
      <name val="Helvetica Neue"/>
    </font>
    <font/>
    <font>
      <color rgb="FF434343"/>
      <name val="Arial"/>
    </font>
    <font>
      <sz val="11.0"/>
      <color rgb="FF434343"/>
      <name val="Calibri"/>
    </font>
    <font>
      <b/>
      <color rgb="FF434343"/>
      <name val="Arial"/>
    </font>
    <font>
      <color rgb="FFFFFFFF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451692"/>
        <bgColor rgb="FF451692"/>
      </patternFill>
    </fill>
    <fill>
      <patternFill patternType="solid">
        <fgColor rgb="FFDDD1F4"/>
        <bgColor rgb="FFDDD1F4"/>
      </patternFill>
    </fill>
  </fills>
  <borders count="12">
    <border/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</border>
    <border>
      <right style="medium">
        <color rgb="FFFFFFFF"/>
      </right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164" xfId="0" applyAlignment="1" applyFont="1" applyNumberFormat="1">
      <alignment horizontal="left" readingOrder="0" shrinkToFit="0" vertical="top" wrapText="1"/>
    </xf>
    <xf borderId="0" fillId="2" fontId="1" numFmtId="0" xfId="0" applyAlignment="1" applyFont="1">
      <alignment shrinkToFit="0" vertical="top" wrapText="1"/>
    </xf>
    <xf borderId="0" fillId="3" fontId="2" numFmtId="0" xfId="0" applyAlignment="1" applyFill="1" applyFont="1">
      <alignment readingOrder="0"/>
    </xf>
    <xf borderId="1" fillId="4" fontId="1" numFmtId="0" xfId="0" applyAlignment="1" applyBorder="1" applyFill="1" applyFont="1">
      <alignment readingOrder="0" shrinkToFit="0" vertical="top" wrapText="1"/>
    </xf>
    <xf borderId="2" fillId="4" fontId="1" numFmtId="164" xfId="0" applyAlignment="1" applyBorder="1" applyFont="1" applyNumberFormat="1">
      <alignment horizontal="left" readingOrder="0" shrinkToFit="0" vertical="top" wrapText="1"/>
    </xf>
    <xf borderId="2" fillId="4" fontId="1" numFmtId="0" xfId="0" applyAlignment="1" applyBorder="1" applyFont="1">
      <alignment readingOrder="0" shrinkToFit="0" vertical="top" wrapText="1"/>
    </xf>
    <xf borderId="2" fillId="4" fontId="1" numFmtId="0" xfId="0" applyAlignment="1" applyBorder="1" applyFont="1">
      <alignment shrinkToFit="0" vertical="top" wrapText="1"/>
    </xf>
    <xf borderId="3" fillId="4" fontId="1" numFmtId="0" xfId="0" applyAlignment="1" applyBorder="1" applyFont="1">
      <alignment readingOrder="0" shrinkToFit="0" vertical="top" wrapText="1"/>
    </xf>
    <xf borderId="4" fillId="0" fontId="3" numFmtId="0" xfId="0" applyBorder="1" applyFont="1"/>
    <xf borderId="5" fillId="4" fontId="1" numFmtId="0" xfId="0" applyAlignment="1" applyBorder="1" applyFont="1">
      <alignment readingOrder="0" shrinkToFit="0" vertical="top" wrapText="1"/>
    </xf>
    <xf borderId="5" fillId="0" fontId="3" numFmtId="0" xfId="0" applyBorder="1" applyFont="1"/>
    <xf borderId="6" fillId="0" fontId="3" numFmtId="0" xfId="0" applyBorder="1" applyFont="1"/>
    <xf borderId="7" fillId="5" fontId="4" numFmtId="0" xfId="0" applyAlignment="1" applyBorder="1" applyFill="1" applyFont="1">
      <alignment readingOrder="0" vertical="bottom"/>
    </xf>
    <xf borderId="0" fillId="5" fontId="4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5" fontId="6" numFmtId="0" xfId="0" applyAlignment="1" applyFont="1">
      <alignment horizontal="right" vertical="bottom"/>
    </xf>
    <xf borderId="0" fillId="5" fontId="6" numFmtId="10" xfId="0" applyAlignment="1" applyFont="1" applyNumberFormat="1">
      <alignment horizontal="right" vertical="bottom"/>
    </xf>
    <xf borderId="0" fillId="5" fontId="6" numFmtId="0" xfId="0" applyAlignment="1" applyFont="1">
      <alignment vertical="bottom"/>
    </xf>
    <xf borderId="8" fillId="5" fontId="6" numFmtId="0" xfId="0" applyAlignment="1" applyBorder="1" applyFont="1">
      <alignment vertical="bottom"/>
    </xf>
    <xf borderId="9" fillId="4" fontId="1" numFmtId="0" xfId="0" applyAlignment="1" applyBorder="1" applyFont="1">
      <alignment readingOrder="0" shrinkToFit="0" vertical="top" wrapText="1"/>
    </xf>
    <xf borderId="10" fillId="4" fontId="1" numFmtId="0" xfId="0" applyAlignment="1" applyBorder="1" applyFont="1">
      <alignment horizontal="right" shrinkToFit="0" vertical="top" wrapText="1"/>
    </xf>
    <xf borderId="10" fillId="4" fontId="1" numFmtId="10" xfId="0" applyAlignment="1" applyBorder="1" applyFont="1" applyNumberFormat="1">
      <alignment horizontal="right" vertical="bottom"/>
    </xf>
    <xf borderId="10" fillId="4" fontId="7" numFmtId="0" xfId="0" applyAlignment="1" applyBorder="1" applyFont="1">
      <alignment vertical="bottom"/>
    </xf>
    <xf borderId="11" fillId="4" fontId="7" numFmtId="0" xfId="0" applyAlignment="1" applyBorder="1" applyFont="1">
      <alignment vertical="bottom"/>
    </xf>
    <xf borderId="0" fillId="0" fontId="8" numFmtId="0" xfId="0" applyAlignment="1" applyFont="1">
      <alignment readingOrder="0" shrinkToFit="0" vertical="top" wrapText="1"/>
    </xf>
    <xf borderId="0" fillId="0" fontId="9" numFmtId="10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81075" cy="981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ccount.simla.com/lead-form/?lang=es&amp;utm_source=simlacom&amp;utm_medium=blog&amp;utm_campaign=abc_xyz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/>
      <c r="B1" s="2"/>
      <c r="C1" s="2"/>
      <c r="D1" s="2"/>
      <c r="E1" s="2"/>
      <c r="F1" s="2"/>
      <c r="G1" s="2"/>
      <c r="H1" s="1"/>
      <c r="I1" s="1"/>
      <c r="J1" s="1"/>
      <c r="K1" s="3"/>
      <c r="L1" s="1"/>
      <c r="M1" s="3"/>
      <c r="N1" s="1"/>
    </row>
    <row r="2">
      <c r="A2" s="1"/>
      <c r="B2" s="4" t="s">
        <v>0</v>
      </c>
    </row>
    <row r="3">
      <c r="A3" s="1"/>
      <c r="B3" s="2"/>
      <c r="C3" s="2"/>
      <c r="D3" s="2"/>
      <c r="E3" s="2"/>
      <c r="F3" s="2"/>
      <c r="G3" s="2"/>
      <c r="H3" s="1"/>
      <c r="I3" s="1"/>
      <c r="J3" s="1"/>
      <c r="K3" s="3"/>
      <c r="L3" s="1"/>
      <c r="M3" s="3"/>
      <c r="N3" s="1"/>
    </row>
    <row r="4">
      <c r="A4" s="5" t="s">
        <v>1</v>
      </c>
      <c r="B4" s="6">
        <v>44927.0</v>
      </c>
      <c r="C4" s="6">
        <v>44958.0</v>
      </c>
      <c r="D4" s="6">
        <v>44986.0</v>
      </c>
      <c r="E4" s="6">
        <v>45017.0</v>
      </c>
      <c r="F4" s="6">
        <v>45047.0</v>
      </c>
      <c r="G4" s="6">
        <v>45078.0</v>
      </c>
      <c r="H4" s="7" t="s">
        <v>2</v>
      </c>
      <c r="I4" s="7" t="s">
        <v>3</v>
      </c>
      <c r="J4" s="7" t="s">
        <v>4</v>
      </c>
      <c r="K4" s="8" t="s">
        <v>5</v>
      </c>
      <c r="L4" s="7" t="s">
        <v>6</v>
      </c>
      <c r="M4" s="8" t="s">
        <v>7</v>
      </c>
      <c r="N4" s="9" t="s">
        <v>8</v>
      </c>
    </row>
    <row r="5">
      <c r="A5" s="10"/>
      <c r="B5" s="11" t="s">
        <v>9</v>
      </c>
      <c r="C5" s="11" t="s">
        <v>9</v>
      </c>
      <c r="D5" s="11" t="s">
        <v>9</v>
      </c>
      <c r="E5" s="11" t="s">
        <v>9</v>
      </c>
      <c r="F5" s="11" t="s">
        <v>9</v>
      </c>
      <c r="G5" s="11" t="s">
        <v>9</v>
      </c>
      <c r="H5" s="12"/>
      <c r="I5" s="12"/>
      <c r="J5" s="12"/>
      <c r="K5" s="12"/>
      <c r="L5" s="12"/>
      <c r="M5" s="12"/>
      <c r="N5" s="13"/>
    </row>
    <row r="6">
      <c r="A6" s="14" t="s">
        <v>10</v>
      </c>
      <c r="B6" s="15">
        <v>113.0</v>
      </c>
      <c r="C6" s="15">
        <v>115.0</v>
      </c>
      <c r="D6" s="15">
        <v>98.0</v>
      </c>
      <c r="E6" s="16">
        <v>101.0</v>
      </c>
      <c r="F6" s="16">
        <v>97.0</v>
      </c>
      <c r="G6" s="16">
        <v>95.0</v>
      </c>
      <c r="H6" s="17">
        <f t="shared" ref="H6:H15" si="1">SUM(B6:G6)</f>
        <v>619</v>
      </c>
      <c r="I6" s="18">
        <f t="shared" ref="I6:I15" si="2">H6/$H$16</f>
        <v>0.1701952158</v>
      </c>
      <c r="J6" s="18">
        <f>I6</f>
        <v>0.1701952158</v>
      </c>
      <c r="K6" s="19" t="str">
        <f t="shared" ref="K6:K15" si="3">IF(J6&lt;=80%,"A",IF(J6&lt;=95%,"B",IF(J6&gt;=95%,"С")))</f>
        <v>A</v>
      </c>
      <c r="L6" s="18">
        <f t="shared" ref="L6:L15" si="4">STDEVP(B6:G6)/AVERAGE(B6:G6)</f>
        <v>0.07640861771</v>
      </c>
      <c r="M6" s="19" t="str">
        <f t="shared" ref="M6:M15" si="5">IF(L6&lt;=10%,"X",IF(L6&lt;=25%,"Y",IF(L6&gt;=25%,"Z")))
</f>
        <v>X</v>
      </c>
      <c r="N6" s="20" t="str">
        <f t="shared" ref="N6:N15" si="6">CONCATENATE(K6,M6)</f>
        <v>AX</v>
      </c>
    </row>
    <row r="7">
      <c r="A7" s="14" t="s">
        <v>11</v>
      </c>
      <c r="B7" s="15">
        <v>120.0</v>
      </c>
      <c r="C7" s="15">
        <v>115.0</v>
      </c>
      <c r="D7" s="15">
        <v>95.0</v>
      </c>
      <c r="E7" s="15">
        <v>98.0</v>
      </c>
      <c r="F7" s="15">
        <v>65.0</v>
      </c>
      <c r="G7" s="15">
        <v>79.0</v>
      </c>
      <c r="H7" s="17">
        <f t="shared" si="1"/>
        <v>572</v>
      </c>
      <c r="I7" s="18">
        <f t="shared" si="2"/>
        <v>0.1572724773</v>
      </c>
      <c r="J7" s="18">
        <f t="shared" ref="J7:J15" si="7">I7+J6</f>
        <v>0.3274676932</v>
      </c>
      <c r="K7" s="19" t="str">
        <f t="shared" si="3"/>
        <v>A</v>
      </c>
      <c r="L7" s="18">
        <f t="shared" si="4"/>
        <v>0.2003713116</v>
      </c>
      <c r="M7" s="19" t="str">
        <f t="shared" si="5"/>
        <v>Y</v>
      </c>
      <c r="N7" s="20" t="str">
        <f t="shared" si="6"/>
        <v>AY</v>
      </c>
    </row>
    <row r="8">
      <c r="A8" s="14" t="s">
        <v>12</v>
      </c>
      <c r="B8" s="15">
        <v>87.0</v>
      </c>
      <c r="C8" s="15">
        <v>134.0</v>
      </c>
      <c r="D8" s="15">
        <v>67.0</v>
      </c>
      <c r="E8" s="16">
        <v>72.0</v>
      </c>
      <c r="F8" s="16">
        <v>75.0</v>
      </c>
      <c r="G8" s="16">
        <v>89.0</v>
      </c>
      <c r="H8" s="17">
        <f t="shared" si="1"/>
        <v>524</v>
      </c>
      <c r="I8" s="18">
        <f t="shared" si="2"/>
        <v>0.1440747869</v>
      </c>
      <c r="J8" s="18">
        <f t="shared" si="7"/>
        <v>0.4715424801</v>
      </c>
      <c r="K8" s="19" t="str">
        <f t="shared" si="3"/>
        <v>A</v>
      </c>
      <c r="L8" s="18">
        <f t="shared" si="4"/>
        <v>0.2552405114</v>
      </c>
      <c r="M8" s="19" t="str">
        <f t="shared" si="5"/>
        <v>Z</v>
      </c>
      <c r="N8" s="20" t="str">
        <f t="shared" si="6"/>
        <v>AZ</v>
      </c>
    </row>
    <row r="9">
      <c r="A9" s="14" t="s">
        <v>13</v>
      </c>
      <c r="B9" s="15">
        <v>95.0</v>
      </c>
      <c r="C9" s="15">
        <v>60.0</v>
      </c>
      <c r="D9" s="15">
        <v>105.0</v>
      </c>
      <c r="E9" s="16">
        <v>97.0</v>
      </c>
      <c r="F9" s="16">
        <v>70.0</v>
      </c>
      <c r="G9" s="16">
        <v>85.0</v>
      </c>
      <c r="H9" s="17">
        <f t="shared" si="1"/>
        <v>512</v>
      </c>
      <c r="I9" s="18">
        <f t="shared" si="2"/>
        <v>0.1407753643</v>
      </c>
      <c r="J9" s="18">
        <f t="shared" si="7"/>
        <v>0.6123178444</v>
      </c>
      <c r="K9" s="19" t="str">
        <f t="shared" si="3"/>
        <v>A</v>
      </c>
      <c r="L9" s="18">
        <f t="shared" si="4"/>
        <v>0.1848774932</v>
      </c>
      <c r="M9" s="19" t="str">
        <f t="shared" si="5"/>
        <v>Y</v>
      </c>
      <c r="N9" s="20" t="str">
        <f t="shared" si="6"/>
        <v>AY</v>
      </c>
    </row>
    <row r="10">
      <c r="A10" s="14" t="s">
        <v>14</v>
      </c>
      <c r="B10" s="15">
        <v>88.0</v>
      </c>
      <c r="C10" s="15">
        <v>94.0</v>
      </c>
      <c r="D10" s="15">
        <v>75.0</v>
      </c>
      <c r="E10" s="16">
        <v>72.0</v>
      </c>
      <c r="F10" s="16">
        <v>68.0</v>
      </c>
      <c r="G10" s="16">
        <v>70.0</v>
      </c>
      <c r="H10" s="17">
        <f t="shared" si="1"/>
        <v>467</v>
      </c>
      <c r="I10" s="18">
        <f t="shared" si="2"/>
        <v>0.1284025296</v>
      </c>
      <c r="J10" s="18">
        <f t="shared" si="7"/>
        <v>0.7407203739</v>
      </c>
      <c r="K10" s="19" t="str">
        <f t="shared" si="3"/>
        <v>A</v>
      </c>
      <c r="L10" s="18">
        <f t="shared" si="4"/>
        <v>0.1246576409</v>
      </c>
      <c r="M10" s="19" t="str">
        <f t="shared" si="5"/>
        <v>Y</v>
      </c>
      <c r="N10" s="20" t="str">
        <f t="shared" si="6"/>
        <v>AY</v>
      </c>
    </row>
    <row r="11">
      <c r="A11" s="14" t="s">
        <v>15</v>
      </c>
      <c r="B11" s="15">
        <v>50.0</v>
      </c>
      <c r="C11" s="15">
        <v>43.0</v>
      </c>
      <c r="D11" s="15">
        <v>61.0</v>
      </c>
      <c r="E11" s="15">
        <v>58.0</v>
      </c>
      <c r="F11" s="15">
        <v>50.0</v>
      </c>
      <c r="G11" s="15">
        <v>44.0</v>
      </c>
      <c r="H11" s="17">
        <f t="shared" si="1"/>
        <v>306</v>
      </c>
      <c r="I11" s="18">
        <f t="shared" si="2"/>
        <v>0.08413527633</v>
      </c>
      <c r="J11" s="18">
        <f t="shared" si="7"/>
        <v>0.8248556503</v>
      </c>
      <c r="K11" s="19" t="str">
        <f t="shared" si="3"/>
        <v>B</v>
      </c>
      <c r="L11" s="18">
        <f t="shared" si="4"/>
        <v>0.1300637173</v>
      </c>
      <c r="M11" s="19" t="str">
        <f t="shared" si="5"/>
        <v>Y</v>
      </c>
      <c r="N11" s="20" t="str">
        <f t="shared" si="6"/>
        <v>BY</v>
      </c>
    </row>
    <row r="12">
      <c r="A12" s="14" t="s">
        <v>16</v>
      </c>
      <c r="B12" s="15">
        <v>45.0</v>
      </c>
      <c r="C12" s="15">
        <v>44.0</v>
      </c>
      <c r="D12" s="15">
        <v>58.0</v>
      </c>
      <c r="E12" s="16">
        <v>56.0</v>
      </c>
      <c r="F12" s="16">
        <v>48.0</v>
      </c>
      <c r="G12" s="16">
        <v>45.0</v>
      </c>
      <c r="H12" s="17">
        <f t="shared" si="1"/>
        <v>296</v>
      </c>
      <c r="I12" s="18">
        <f t="shared" si="2"/>
        <v>0.08138575749</v>
      </c>
      <c r="J12" s="18">
        <f t="shared" si="7"/>
        <v>0.9062414078</v>
      </c>
      <c r="K12" s="19" t="str">
        <f t="shared" si="3"/>
        <v>B</v>
      </c>
      <c r="L12" s="18">
        <f t="shared" si="4"/>
        <v>0.1132638825</v>
      </c>
      <c r="M12" s="19" t="str">
        <f t="shared" si="5"/>
        <v>Y</v>
      </c>
      <c r="N12" s="20" t="str">
        <f t="shared" si="6"/>
        <v>BY</v>
      </c>
    </row>
    <row r="13">
      <c r="A13" s="14" t="s">
        <v>17</v>
      </c>
      <c r="B13" s="15">
        <v>32.0</v>
      </c>
      <c r="C13" s="15">
        <v>34.0</v>
      </c>
      <c r="D13" s="15">
        <v>48.0</v>
      </c>
      <c r="E13" s="16">
        <v>45.0</v>
      </c>
      <c r="F13" s="16">
        <v>38.0</v>
      </c>
      <c r="G13" s="16">
        <v>35.0</v>
      </c>
      <c r="H13" s="17">
        <f t="shared" si="1"/>
        <v>232</v>
      </c>
      <c r="I13" s="18">
        <f t="shared" si="2"/>
        <v>0.06378883695</v>
      </c>
      <c r="J13" s="18">
        <f t="shared" si="7"/>
        <v>0.9700302447</v>
      </c>
      <c r="K13" s="19" t="str">
        <f t="shared" si="3"/>
        <v>С</v>
      </c>
      <c r="L13" s="18">
        <f t="shared" si="4"/>
        <v>0.152027518</v>
      </c>
      <c r="M13" s="19" t="str">
        <f t="shared" si="5"/>
        <v>Y</v>
      </c>
      <c r="N13" s="20" t="str">
        <f t="shared" si="6"/>
        <v>СY</v>
      </c>
    </row>
    <row r="14">
      <c r="A14" s="14" t="s">
        <v>18</v>
      </c>
      <c r="B14" s="15">
        <v>10.0</v>
      </c>
      <c r="C14" s="15">
        <v>18.0</v>
      </c>
      <c r="D14" s="15">
        <v>13.0</v>
      </c>
      <c r="E14" s="16">
        <v>5.0</v>
      </c>
      <c r="F14" s="16">
        <v>7.0</v>
      </c>
      <c r="G14" s="16">
        <v>15.0</v>
      </c>
      <c r="H14" s="17">
        <f t="shared" si="1"/>
        <v>68</v>
      </c>
      <c r="I14" s="18">
        <f t="shared" si="2"/>
        <v>0.01869672807</v>
      </c>
      <c r="J14" s="18">
        <f t="shared" si="7"/>
        <v>0.9887269728</v>
      </c>
      <c r="K14" s="19" t="str">
        <f t="shared" si="3"/>
        <v>С</v>
      </c>
      <c r="L14" s="18">
        <f t="shared" si="4"/>
        <v>0.3967863989</v>
      </c>
      <c r="M14" s="19" t="str">
        <f t="shared" si="5"/>
        <v>Z</v>
      </c>
      <c r="N14" s="20" t="str">
        <f t="shared" si="6"/>
        <v>СZ</v>
      </c>
    </row>
    <row r="15">
      <c r="A15" s="14" t="s">
        <v>19</v>
      </c>
      <c r="B15" s="15">
        <v>5.0</v>
      </c>
      <c r="C15" s="15">
        <v>7.0</v>
      </c>
      <c r="D15" s="15">
        <v>10.0</v>
      </c>
      <c r="E15" s="16">
        <v>9.0</v>
      </c>
      <c r="F15" s="16">
        <v>4.0</v>
      </c>
      <c r="G15" s="16">
        <v>6.0</v>
      </c>
      <c r="H15" s="17">
        <f t="shared" si="1"/>
        <v>41</v>
      </c>
      <c r="I15" s="18">
        <f t="shared" si="2"/>
        <v>0.01127302722</v>
      </c>
      <c r="J15" s="18">
        <f t="shared" si="7"/>
        <v>1</v>
      </c>
      <c r="K15" s="19" t="str">
        <f t="shared" si="3"/>
        <v>С</v>
      </c>
      <c r="L15" s="18">
        <f t="shared" si="4"/>
        <v>0.309477501</v>
      </c>
      <c r="M15" s="19" t="str">
        <f t="shared" si="5"/>
        <v>Z</v>
      </c>
      <c r="N15" s="20" t="str">
        <f t="shared" si="6"/>
        <v>СZ</v>
      </c>
    </row>
    <row r="16">
      <c r="A16" s="21" t="s">
        <v>20</v>
      </c>
      <c r="B16" s="22">
        <f t="shared" ref="B16:I16" si="8">SUM(B6:B15)</f>
        <v>645</v>
      </c>
      <c r="C16" s="22">
        <f t="shared" si="8"/>
        <v>664</v>
      </c>
      <c r="D16" s="22">
        <f t="shared" si="8"/>
        <v>630</v>
      </c>
      <c r="E16" s="22">
        <f t="shared" si="8"/>
        <v>613</v>
      </c>
      <c r="F16" s="22">
        <f t="shared" si="8"/>
        <v>522</v>
      </c>
      <c r="G16" s="22">
        <f t="shared" si="8"/>
        <v>563</v>
      </c>
      <c r="H16" s="22">
        <f t="shared" si="8"/>
        <v>3637</v>
      </c>
      <c r="I16" s="23">
        <f t="shared" si="8"/>
        <v>1</v>
      </c>
      <c r="J16" s="24"/>
      <c r="K16" s="24"/>
      <c r="L16" s="24"/>
      <c r="M16" s="24"/>
      <c r="N16" s="25"/>
    </row>
    <row r="17">
      <c r="A17" s="26"/>
      <c r="B17" s="27"/>
      <c r="C17" s="27"/>
      <c r="D17" s="27"/>
      <c r="E17" s="27"/>
      <c r="F17" s="27"/>
      <c r="G17" s="27"/>
    </row>
  </sheetData>
  <mergeCells count="9">
    <mergeCell ref="M4:M5"/>
    <mergeCell ref="N4:N5"/>
    <mergeCell ref="B2:N2"/>
    <mergeCell ref="A4:A5"/>
    <mergeCell ref="H4:H5"/>
    <mergeCell ref="I4:I5"/>
    <mergeCell ref="J4:J5"/>
    <mergeCell ref="K4:K5"/>
    <mergeCell ref="L4:L5"/>
  </mergeCells>
  <hyperlinks>
    <hyperlink r:id="rId1" ref="B2"/>
  </hyperlinks>
  <drawing r:id="rId2"/>
</worksheet>
</file>